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<sst xmlns="http://schemas.openxmlformats.org/spreadsheetml/2006/main" count="144" uniqueCount="48">
  <si>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</si>
  <si>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</si>
  <si>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</si>
  <si>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</si>
  <si>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</si>
  <si>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</si>
  <si>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</si>
  <si>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</si>
  <si>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</si>
  <si>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</si>
  <si>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</si>
  <si>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</si>
  <si>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</si>
  <si>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</si>
  <si>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</si>
  <si>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</si>
  <si>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</si>
  <si>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</si>
  <si>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</si>
  <si>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</si>
  <si>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</si>
  <si>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</si>
  <si>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DP1.1: 3a) Implemented and added conditional sum adder topology (CSA) for Part 3a) of DP1.</t>
  </si>
  <si>
    <t xml:space="preserve">DP1.1: 3b) Renamed CSA to CSAN, RippleAddr to RCAN, for consistent naming. Added initial Testbench files for the two topologies.</t>
  </si>
  <si>
    <t xml:space="preserve">DP1.1: 3b) Created Utils.vhd for utility functions. Added functions hex_to_slv, slv_to_hex, to enable easy translation between std_logic_vector typed values and hexadecimal values.</t>
  </si>
  <si>
    <t xml:space="preserve">DP1.1: 3b): Implemented features for Testbenches TBRCAN, TBCSAN: Added test vector processing via reading line by line from Adder00.tvs as well as logging to terminal.</t>
  </si>
  <si>
    <t xml:space="preserve">DP1.1: 3b) Added Ovfl output for CSA. Logic: check if the leftmost used adder overflowed or not: use that as the overflow of the whole CSA. Created 10  test vectors that fulfill functional verification testing requirements (Make sure that the inputs thoroughly test every part of the adder independently).</t>
  </si>
  <si>
    <t xml:space="preserve">DP1.1: 3b): implemented stimulus application, verified correct results, implemented detailed failure logging, implemented writing into a transcript. Added 8 more test vectors, total of 18 test vectors used in the testbench.</t>
  </si>
  <si>
    <t xml:space="preserve">DP1.1: 3a) (Completion) Reworked Ovfl detection logic of CSA (check that the addition of two negatives makes a positive and vice versa instead of checking leftmost adder Ovfl), make report statements in testbench only give extensive details about failures to improve conciseness. Create wave.do file for ease of future simulations.</t>
  </si>
  <si>
    <t xml:space="preserve">DP1.1: 3b) Removed a line of code that was incorrectly trying to timestamp transcript file with the “now” keyword.</t>
  </si>
  <si>
    <t xml:space="preserve">DP1.1: 2a) Fixed Baseline and FastRipple Implementations: Correct incorrect labeling of Baseline architecture as Fastripple, and vice versa. Added overflow detection for Fastripple, and Baseline architectures. Added Cout calculation for Fastripple. </t>
  </si>
  <si>
    <t xml:space="preserve">DP1.1: 3b) (Completion) Fully completed Testbenches and .do scripts for both RCAN and CSAN. Ensured expected operation for both topologies. Rename wave.do for TBCSAN to “waveCSAN.do”, and rename wave.do for TBRCAN to “waveRCAN.do”. </t>
  </si>
  <si>
    <t xml:space="preserve">DP1.1: 3a)  Revert base case adder of CSA to full adder. Was originally at 4-bit ripple adders.</t>
  </si>
  <si>
    <t xml:space="preserve">DP1.1: 4) (Completion) Implement RCANfv.do, CSANfv.do, functional verification .do scripts as outlined in the requirements. Could not figure out how to pass command line arguments: therefore capture_set, the flag used to determine whether the output would be captured into a transcript file or not, is set at the top of these .do scripts for the time being.</t>
  </si>
  <si>
    <t xml:space="preserve">DP1.1: 4) Small improvement: allow easy toggling on/off of whether output is captured into transcript or not via set ::capture_set 1/0 in vsim terminal. Default capture_set is 1</t>
  </si>
  <si>
    <t xml:space="preserve">DP1.1: Make several utility scripts and programs: nuke.sh for cleaning of project directory of all unecessary files, genTVDP1-1 for generating test vectors, verifyTVDP1-1 for verifying the generated test vectors.</t>
  </si>
  <si>
    <t xml:space="preserve">DP1.1: Add RTL view images of the two topologies, as well as technology viewer post fit images of each design candidate. Rework output of testbench files to be one-liners, and create “append” utility function for concatenating strings together for better outputs.</t>
  </si>
  <si>
    <t xml:space="preserve">DP1.1: Add more in-depth comments to all VHDL files. </t>
  </si>
  <si>
    <t xml:space="preserve">DP1.1: Complete VHDL listing for deliverable 5) of DP1.1. In it, removed all unnecessary commented out code, comments, and irrelevant code.</t>
  </si>
  <si>
    <t xml:space="preserve">DP1.1: Complete Ultimate Output Summary (DP1-Quartus-Summary-G12-350-1261.txt) for all design candidates for deliverable 9) of DP1.1.</t>
  </si>
  <si>
    <t xml:space="preserve">DP1.1: Complete Document Name Summary Table for deliverable 11) of DP1.1. Also, add more test vectors to Adder00.tvs and generate testing transcripts for RCAN, CSAN topologies.</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</si>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</sst>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7">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7" fillId="3" borderId="0" xfId="0" applyFont="true" applyBorder="false" applyAlignment="true" applyProtection="tru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tru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tru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true">
      <alignment horizontal="center" vertical="center" textRotation="0" wrapText="false" indent="0" shrinkToFit="false"/>
      <protection locked="true" hidden="false"/>
    </xf>
    <xf numFmtId="164" fontId="15" fillId="5" borderId="7" xfId="0" applyFont="true" applyBorder="true" applyAlignment="true" applyProtection="true">
      <alignment horizontal="center" vertical="center" textRotation="0" wrapText="false" indent="0" shrinkToFit="false"/>
      <protection locked="true" hidden="false"/>
    </xf>
    <xf numFmtId="165" fontId="15" fillId="5" borderId="7" xfId="0" applyFont="true" applyBorder="true" applyAlignment="true" applyProtection="true">
      <alignment horizontal="center" vertical="center" textRotation="0" wrapText="false" indent="0" shrinkToFit="false"/>
      <protection locked="true" hidden="false"/>
    </xf>
    <xf numFmtId="166" fontId="15" fillId="5" borderId="8" xfId="0" applyFont="true" applyBorder="true" applyAlignment="true" applyProtection="true">
      <alignment horizontal="center" vertical="center" textRotation="0" wrapText="false" indent="0" shrinkToFit="false"/>
      <protection locked="true" hidden="false"/>
    </xf>
    <xf numFmtId="166" fontId="15" fillId="5" borderId="7" xfId="0" applyFont="true" applyBorder="true" applyAlignment="true" applyProtection="true">
      <alignment horizontal="center" vertical="center" textRotation="0" wrapText="false" indent="0" shrinkToFit="false"/>
      <protection locked="true" hidden="false"/>
    </xf>
    <xf numFmtId="164" fontId="15" fillId="5" borderId="9"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center" vertical="center" textRotation="0" wrapText="false" indent="0" shrinkToFit="false"/>
      <protection locked="true" hidden="false"/>
    </xf>
    <xf numFmtId="164" fontId="0" fillId="0" borderId="10" xfId="0" applyFont="false" applyBorder="true" applyAlignment="true" applyProtection="tru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true">
      <alignment horizontal="general"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6" fontId="0" fillId="4" borderId="16" xfId="0" applyFont="true" applyBorder="true" applyAlignment="true" applyProtection="true">
      <alignment horizontal="general" vertical="center" textRotation="0" wrapText="false" indent="0" shrinkToFit="false"/>
      <protection locked="fals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true"/>
    </xf>
    <xf numFmtId="169" fontId="12" fillId="0" borderId="0" xfId="0" applyFont="true" applyBorder="false" applyAlignment="true" applyProtection="true">
      <alignment horizontal="general" vertical="bottom" textRotation="0" wrapText="false" indent="0" shrinkToFit="false"/>
      <protection locked="true" hidden="true"/>
    </xf>
    <xf numFmtId="169" fontId="12" fillId="2" borderId="0" xfId="0" applyFont="true" applyBorder="false" applyAlignment="tru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B11" activeCellId="0" sqref="B11"/>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3</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21" t="n">
        <v>46051</v>
      </c>
      <c r="D7" s="22" t="n">
        <v>0.458333333333333</v>
      </c>
      <c r="E7" s="23" t="n">
        <v>0.541666666666667</v>
      </c>
      <c r="F7" s="24"/>
      <c r="G7" s="25" t="s">
        <v>16</v>
      </c>
      <c r="H7" s="26" t="n">
        <f aca="false">(E7-D7)*24</f>
        <v>2</v>
      </c>
      <c r="I7" s="27"/>
    </row>
    <row r="8" customFormat="false" ht="24.75" hidden="false" customHeight="true" outlineLevel="0" collapsed="false">
      <c r="A8" s="28"/>
      <c r="B8" s="29" t="s">
        <v>15</v>
      </c>
      <c r="C8" s="30" t="n">
        <v>46053</v>
      </c>
      <c r="D8" s="31" t="n">
        <v>0.75</v>
      </c>
      <c r="E8" s="32" t="n">
        <v>0.833333333333333</v>
      </c>
      <c r="F8" s="33"/>
      <c r="G8" s="34" t="s">
        <v>17</v>
      </c>
      <c r="H8" s="35" t="n">
        <f aca="false">(E8-D8)*24</f>
        <v>2</v>
      </c>
    </row>
    <row r="9" customFormat="false" ht="24.75" hidden="false" customHeight="true" outlineLevel="0" collapsed="false">
      <c r="A9" s="28"/>
      <c r="B9" s="29" t="s">
        <v>15</v>
      </c>
      <c r="C9" s="30" t="n">
        <v>46054</v>
      </c>
      <c r="D9" s="22" t="n">
        <v>0.583333333333333</v>
      </c>
      <c r="E9" s="32" t="n">
        <v>0.625</v>
      </c>
      <c r="F9" s="33"/>
      <c r="G9" s="36" t="s">
        <v>18</v>
      </c>
      <c r="H9" s="35" t="n">
        <f aca="false">(E9-D9)*24</f>
        <v>0.999999999999999</v>
      </c>
    </row>
    <row r="10" customFormat="false" ht="24.75" hidden="false" customHeight="true" outlineLevel="0" collapsed="false">
      <c r="A10" s="28"/>
      <c r="B10" s="29" t="s">
        <v>15</v>
      </c>
      <c r="C10" s="30" t="n">
        <v>46054</v>
      </c>
      <c r="D10" s="22" t="n">
        <v>0.625</v>
      </c>
      <c r="E10" s="32" t="n">
        <v>0.666666666666667</v>
      </c>
      <c r="F10" s="33"/>
      <c r="G10" s="34" t="s">
        <v>19</v>
      </c>
      <c r="H10" s="35" t="n">
        <f aca="false">(E10-D10)*24</f>
        <v>1</v>
      </c>
    </row>
    <row r="11" customFormat="false" ht="24.75" hidden="false" customHeight="true" outlineLevel="0" collapsed="false">
      <c r="A11" s="28"/>
      <c r="B11" s="29" t="s">
        <v>15</v>
      </c>
      <c r="C11" s="30" t="n">
        <v>46064</v>
      </c>
      <c r="D11" s="22" t="n">
        <v>0.666666666666667</v>
      </c>
      <c r="E11" s="32" t="n">
        <v>0.708333333333333</v>
      </c>
      <c r="F11" s="33"/>
      <c r="G11" s="34" t="s">
        <v>20</v>
      </c>
      <c r="H11" s="35" t="n">
        <f aca="false">(E11-D11)*24</f>
        <v>1</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3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32"/>
      <c r="E16" s="32"/>
      <c r="F16" s="33"/>
      <c r="G16" s="34"/>
      <c r="H16" s="35" t="n">
        <f aca="false">(E16-D16)*24</f>
        <v>0</v>
      </c>
    </row>
    <row r="17" customFormat="false" ht="24.75" hidden="false" customHeight="true" outlineLevel="0" collapsed="false">
      <c r="A17" s="28"/>
      <c r="B17" s="29"/>
      <c r="C17" s="30"/>
      <c r="D17" s="32"/>
      <c r="E17" s="32"/>
      <c r="F17" s="33"/>
      <c r="G17" s="34"/>
      <c r="H17" s="35" t="n">
        <f aca="false">(E17-D17)*24</f>
        <v>0</v>
      </c>
    </row>
    <row r="18" customFormat="false" ht="24.75" hidden="false" customHeight="true" outlineLevel="0" collapsed="false">
      <c r="A18" s="28"/>
      <c r="B18" s="29"/>
      <c r="C18" s="30"/>
      <c r="D18" s="32"/>
      <c r="E18" s="32"/>
      <c r="F18" s="33"/>
      <c r="G18" s="34"/>
      <c r="H18" s="35" t="n">
        <f aca="false">(E18-D18)*24</f>
        <v>0</v>
      </c>
    </row>
    <row r="19" customFormat="false" ht="24.75" hidden="false" customHeight="true" outlineLevel="0" collapsed="false">
      <c r="A19" s="28"/>
      <c r="B19" s="29"/>
      <c r="C19" s="30"/>
      <c r="D19" s="32"/>
      <c r="E19" s="37"/>
      <c r="F19" s="33"/>
      <c r="G19" s="34"/>
      <c r="H19" s="35" t="n">
        <f aca="false">(E19-D19)*24</f>
        <v>0</v>
      </c>
    </row>
    <row r="20" customFormat="false" ht="24.75" hidden="false" customHeight="true" outlineLevel="0" collapsed="false">
      <c r="A20" s="28"/>
      <c r="B20" s="29"/>
      <c r="C20" s="30"/>
      <c r="D20" s="37"/>
      <c r="E20" s="32"/>
      <c r="F20" s="33"/>
      <c r="G20" s="34"/>
      <c r="H20" s="35" t="n">
        <f aca="false">(E20-D20)*24</f>
        <v>0</v>
      </c>
    </row>
    <row r="21" customFormat="false" ht="24.75" hidden="false" customHeight="true" outlineLevel="0" collapsed="false">
      <c r="A21" s="28"/>
      <c r="B21" s="29"/>
      <c r="C21" s="30"/>
      <c r="D21" s="37"/>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32"/>
      <c r="E23" s="32"/>
      <c r="F23" s="33"/>
      <c r="G23" s="34"/>
      <c r="H23" s="35" t="n">
        <f aca="false">(E23-D23)*24</f>
        <v>0</v>
      </c>
    </row>
    <row r="24" customFormat="false" ht="24.75" hidden="false" customHeight="true" outlineLevel="0" collapsed="false">
      <c r="A24" s="28"/>
      <c r="B24" s="29"/>
      <c r="C24" s="30"/>
      <c r="D24" s="32"/>
      <c r="E24" s="32"/>
      <c r="F24" s="33"/>
      <c r="G24" s="34"/>
      <c r="H24" s="35" t="n">
        <f aca="false">(E24-D24)*24</f>
        <v>0</v>
      </c>
    </row>
    <row r="25" customFormat="false" ht="24.75" hidden="false" customHeight="true" outlineLevel="0" collapsed="false">
      <c r="A25" s="28"/>
      <c r="B25" s="29"/>
      <c r="C25" s="30"/>
      <c r="D25" s="3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7</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true" showOutlineSymbols="true" defaultGridColor="true" view="normal" topLeftCell="C3" colorId="64" zoomScale="85" zoomScaleNormal="85" zoomScalePageLayoutView="100" workbookViewId="0">
      <selection pane="topLeft" activeCell="G21" activeCellId="0" sqref="G21"/>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21</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30" t="n">
        <v>46066</v>
      </c>
      <c r="D7" s="22" t="n">
        <v>0.583333333333333</v>
      </c>
      <c r="E7" s="32" t="n">
        <v>0.666666666666667</v>
      </c>
      <c r="F7" s="24"/>
      <c r="G7" s="34" t="s">
        <v>22</v>
      </c>
      <c r="H7" s="26" t="n">
        <f aca="false">(E7-D7)*24</f>
        <v>2</v>
      </c>
      <c r="I7" s="27"/>
    </row>
    <row r="8" customFormat="false" ht="24.75" hidden="false" customHeight="true" outlineLevel="0" collapsed="false">
      <c r="A8" s="28"/>
      <c r="B8" s="29" t="s">
        <v>15</v>
      </c>
      <c r="C8" s="30" t="n">
        <v>46066</v>
      </c>
      <c r="D8" s="32" t="n">
        <v>0.666666666666667</v>
      </c>
      <c r="E8" s="32" t="n">
        <v>0.708333333333333</v>
      </c>
      <c r="F8" s="33"/>
      <c r="G8" s="34" t="s">
        <v>23</v>
      </c>
      <c r="H8" s="35" t="n">
        <f aca="false">(E8-D8)*24</f>
        <v>1</v>
      </c>
    </row>
    <row r="9" customFormat="false" ht="24.75" hidden="false" customHeight="true" outlineLevel="0" collapsed="false">
      <c r="A9" s="28"/>
      <c r="B9" s="29" t="s">
        <v>15</v>
      </c>
      <c r="C9" s="30" t="n">
        <v>46066</v>
      </c>
      <c r="D9" s="22" t="n">
        <v>0.708333333333333</v>
      </c>
      <c r="E9" s="32" t="n">
        <v>0.739583333333333</v>
      </c>
      <c r="F9" s="33"/>
      <c r="G9" s="34" t="s">
        <v>24</v>
      </c>
      <c r="H9" s="35" t="n">
        <f aca="false">(E9-D9)*24</f>
        <v>0.75</v>
      </c>
    </row>
    <row r="10" customFormat="false" ht="24.75" hidden="false" customHeight="true" outlineLevel="0" collapsed="false">
      <c r="A10" s="28"/>
      <c r="B10" s="29" t="s">
        <v>15</v>
      </c>
      <c r="C10" s="30" t="n">
        <v>46066</v>
      </c>
      <c r="D10" s="22" t="n">
        <v>0.739583333333333</v>
      </c>
      <c r="E10" s="32" t="n">
        <v>0.791666666666667</v>
      </c>
      <c r="F10" s="33"/>
      <c r="G10" s="34" t="s">
        <v>25</v>
      </c>
      <c r="H10" s="35" t="n">
        <f aca="false">(E10-D10)*24</f>
        <v>1.25</v>
      </c>
    </row>
    <row r="11" customFormat="false" ht="24.75" hidden="false" customHeight="true" outlineLevel="0" collapsed="false">
      <c r="A11" s="28"/>
      <c r="B11" s="29" t="s">
        <v>15</v>
      </c>
      <c r="C11" s="30" t="n">
        <v>46066</v>
      </c>
      <c r="D11" s="32" t="n">
        <v>0.791666666666667</v>
      </c>
      <c r="E11" s="32" t="n">
        <v>0.8125</v>
      </c>
      <c r="F11" s="33"/>
      <c r="G11" s="34" t="s">
        <v>26</v>
      </c>
      <c r="H11" s="35" t="n">
        <f aca="false">(E11-D11)*24</f>
        <v>0.5</v>
      </c>
    </row>
    <row r="12" customFormat="false" ht="24.75" hidden="false" customHeight="true" outlineLevel="0" collapsed="false">
      <c r="A12" s="28"/>
      <c r="B12" s="20" t="s">
        <v>15</v>
      </c>
      <c r="C12" s="30" t="n">
        <v>46066</v>
      </c>
      <c r="D12" s="32" t="n">
        <v>0.8125</v>
      </c>
      <c r="E12" s="32" t="n">
        <v>0.895833333333333</v>
      </c>
      <c r="F12" s="33"/>
      <c r="G12" s="34" t="s">
        <v>27</v>
      </c>
      <c r="H12" s="35" t="n">
        <f aca="false">(E12-D12)*24</f>
        <v>2</v>
      </c>
    </row>
    <row r="13" customFormat="false" ht="24.75" hidden="false" customHeight="true" outlineLevel="0" collapsed="false">
      <c r="A13" s="28"/>
      <c r="B13" s="29" t="s">
        <v>15</v>
      </c>
      <c r="C13" s="30" t="n">
        <v>46067</v>
      </c>
      <c r="D13" s="32" t="n">
        <v>0.541666666666667</v>
      </c>
      <c r="E13" s="32" t="n">
        <v>0.625</v>
      </c>
      <c r="F13" s="33"/>
      <c r="G13" s="34" t="s">
        <v>28</v>
      </c>
      <c r="H13" s="35" t="n">
        <f aca="false">(E13-D13)*24</f>
        <v>2</v>
      </c>
    </row>
    <row r="14" customFormat="false" ht="24.75" hidden="false" customHeight="true" outlineLevel="0" collapsed="false">
      <c r="A14" s="28"/>
      <c r="B14" s="29" t="s">
        <v>15</v>
      </c>
      <c r="C14" s="30" t="n">
        <v>46067</v>
      </c>
      <c r="D14" s="32" t="n">
        <v>0.625</v>
      </c>
      <c r="E14" s="37" t="n">
        <v>0.631944444444444</v>
      </c>
      <c r="F14" s="33"/>
      <c r="G14" s="34" t="s">
        <v>29</v>
      </c>
      <c r="H14" s="35" t="n">
        <f aca="false">(E14-D14)*24</f>
        <v>0.166666666666667</v>
      </c>
    </row>
    <row r="15" customFormat="false" ht="24.75" hidden="false" customHeight="true" outlineLevel="0" collapsed="false">
      <c r="A15" s="28"/>
      <c r="B15" s="29" t="s">
        <v>15</v>
      </c>
      <c r="C15" s="30" t="n">
        <v>46067</v>
      </c>
      <c r="D15" s="37" t="n">
        <v>0.631944444444444</v>
      </c>
      <c r="E15" s="32" t="n">
        <v>0.673611111111111</v>
      </c>
      <c r="F15" s="33"/>
      <c r="G15" s="34" t="s">
        <v>30</v>
      </c>
      <c r="H15" s="35" t="n">
        <f aca="false">(E15-D15)*24</f>
        <v>1</v>
      </c>
    </row>
    <row r="16" customFormat="false" ht="24.75" hidden="false" customHeight="true" outlineLevel="0" collapsed="false">
      <c r="A16" s="28"/>
      <c r="B16" s="29" t="s">
        <v>15</v>
      </c>
      <c r="C16" s="30" t="n">
        <v>46067</v>
      </c>
      <c r="D16" s="37" t="n">
        <v>0.673611111111111</v>
      </c>
      <c r="E16" s="32" t="n">
        <v>0.715277777777778</v>
      </c>
      <c r="F16" s="33"/>
      <c r="G16" s="34" t="s">
        <v>31</v>
      </c>
      <c r="H16" s="35" t="n">
        <f aca="false">(E16-D16)*24</f>
        <v>1</v>
      </c>
    </row>
    <row r="17" customFormat="false" ht="24.75" hidden="false" customHeight="true" outlineLevel="0" collapsed="false">
      <c r="A17" s="28"/>
      <c r="B17" s="20" t="s">
        <v>15</v>
      </c>
      <c r="C17" s="30" t="n">
        <v>46067</v>
      </c>
      <c r="D17" s="22" t="n">
        <v>0.715277777777778</v>
      </c>
      <c r="E17" s="32" t="n">
        <v>0.722222222222222</v>
      </c>
      <c r="F17" s="33"/>
      <c r="G17" s="34" t="s">
        <v>32</v>
      </c>
      <c r="H17" s="35" t="n">
        <f aca="false">(E17-D17)*24</f>
        <v>0.166666666666667</v>
      </c>
    </row>
    <row r="18" customFormat="false" ht="24.75" hidden="false" customHeight="true" outlineLevel="0" collapsed="false">
      <c r="A18" s="28"/>
      <c r="B18" s="29" t="s">
        <v>15</v>
      </c>
      <c r="C18" s="30" t="n">
        <v>46067</v>
      </c>
      <c r="D18" s="32" t="n">
        <v>0.722222222222222</v>
      </c>
      <c r="E18" s="32" t="n">
        <v>0.805555555555556</v>
      </c>
      <c r="F18" s="33"/>
      <c r="G18" s="34" t="s">
        <v>33</v>
      </c>
      <c r="H18" s="35" t="n">
        <f aca="false">(E18-D18)*24</f>
        <v>2</v>
      </c>
    </row>
    <row r="19" customFormat="false" ht="24.75" hidden="false" customHeight="true" outlineLevel="0" collapsed="false">
      <c r="A19" s="28"/>
      <c r="B19" s="29" t="s">
        <v>15</v>
      </c>
      <c r="C19" s="30" t="n">
        <v>46067</v>
      </c>
      <c r="D19" s="32" t="n">
        <v>0.805555555555556</v>
      </c>
      <c r="E19" s="32" t="n">
        <v>0.826388888888889</v>
      </c>
      <c r="F19" s="33"/>
      <c r="G19" s="34" t="s">
        <v>34</v>
      </c>
      <c r="H19" s="35" t="n">
        <f aca="false">(E19-D19)*24</f>
        <v>0.5</v>
      </c>
    </row>
    <row r="20" customFormat="false" ht="24.75" hidden="false" customHeight="true" outlineLevel="0" collapsed="false">
      <c r="A20" s="28"/>
      <c r="B20" s="29" t="s">
        <v>15</v>
      </c>
      <c r="C20" s="30" t="n">
        <v>46067</v>
      </c>
      <c r="D20" s="32" t="n">
        <v>0.826388888888889</v>
      </c>
      <c r="E20" s="32" t="n">
        <v>0.909722222222222</v>
      </c>
      <c r="F20" s="33"/>
      <c r="G20" s="34" t="s">
        <v>35</v>
      </c>
      <c r="H20" s="35" t="n">
        <f aca="false">(E20-D20)*24</f>
        <v>2</v>
      </c>
    </row>
    <row r="21" customFormat="false" ht="24.75" hidden="false" customHeight="true" outlineLevel="0" collapsed="false">
      <c r="A21" s="28"/>
      <c r="B21" s="29" t="s">
        <v>15</v>
      </c>
      <c r="C21" s="30" t="n">
        <v>46068</v>
      </c>
      <c r="D21" s="22" t="n">
        <v>0.541666666666667</v>
      </c>
      <c r="E21" s="32" t="n">
        <v>0.625</v>
      </c>
      <c r="F21" s="33"/>
      <c r="G21" s="34" t="s">
        <v>36</v>
      </c>
      <c r="H21" s="35" t="n">
        <f aca="false">(E21-D21)*24</f>
        <v>2</v>
      </c>
    </row>
    <row r="22" customFormat="false" ht="24.75" hidden="false" customHeight="true" outlineLevel="0" collapsed="false">
      <c r="A22" s="28"/>
      <c r="B22" s="20" t="s">
        <v>15</v>
      </c>
      <c r="C22" s="30" t="n">
        <v>46068</v>
      </c>
      <c r="D22" s="22" t="n">
        <v>0.625</v>
      </c>
      <c r="E22" s="32" t="n">
        <v>0.708333333333333</v>
      </c>
      <c r="F22" s="33"/>
      <c r="G22" s="34" t="s">
        <v>37</v>
      </c>
      <c r="H22" s="35" t="n">
        <f aca="false">(E22-D22)*24</f>
        <v>2</v>
      </c>
    </row>
    <row r="23" customFormat="false" ht="24.75" hidden="false" customHeight="true" outlineLevel="0" collapsed="false">
      <c r="A23" s="28"/>
      <c r="B23" s="29" t="s">
        <v>15</v>
      </c>
      <c r="C23" s="30" t="n">
        <v>46068</v>
      </c>
      <c r="D23" s="22" t="n">
        <v>0.708333333333333</v>
      </c>
      <c r="E23" s="32" t="n">
        <v>0.791666666666667</v>
      </c>
      <c r="F23" s="33"/>
      <c r="G23" s="34" t="s">
        <v>38</v>
      </c>
      <c r="H23" s="35" t="n">
        <f aca="false">(E23-D23)*24</f>
        <v>2</v>
      </c>
    </row>
    <row r="24" customFormat="false" ht="24.75" hidden="false" customHeight="true" outlineLevel="0" collapsed="false">
      <c r="A24" s="28"/>
      <c r="B24" s="29" t="s">
        <v>15</v>
      </c>
      <c r="C24" s="30" t="n">
        <v>46068</v>
      </c>
      <c r="D24" s="32" t="n">
        <v>0.791666666666667</v>
      </c>
      <c r="E24" s="32" t="n">
        <v>0.833333333333333</v>
      </c>
      <c r="F24" s="33"/>
      <c r="G24" s="34" t="s">
        <v>39</v>
      </c>
      <c r="H24" s="35" t="n">
        <f aca="false">(E24-D24)*24</f>
        <v>1</v>
      </c>
    </row>
    <row r="25" customFormat="false" ht="24.75" hidden="false" customHeight="true" outlineLevel="0" collapsed="false">
      <c r="A25" s="28"/>
      <c r="B25" s="29" t="s">
        <v>15</v>
      </c>
      <c r="C25" s="30" t="n">
        <v>46068</v>
      </c>
      <c r="D25" s="32" t="n">
        <v>0.833333333333333</v>
      </c>
      <c r="E25" s="32" t="n">
        <v>0.875</v>
      </c>
      <c r="F25" s="33"/>
      <c r="G25" s="34" t="s">
        <v>40</v>
      </c>
      <c r="H25" s="35" t="n">
        <f aca="false">(E25-D25)*24</f>
        <v>1</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24.3333333333333</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41</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42</v>
      </c>
      <c r="C4" s="9"/>
      <c r="D4" s="9"/>
      <c r="E4" s="7"/>
      <c r="F4" s="7"/>
      <c r="G4" s="7"/>
    </row>
    <row r="5" customFormat="false" ht="59.25" hidden="false" customHeight="true" outlineLevel="0" collapsed="false">
      <c r="A5" s="10" t="s">
        <v>7</v>
      </c>
      <c r="B5" s="9" t="s">
        <v>43</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44</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42</v>
      </c>
      <c r="C4" s="9"/>
      <c r="D4" s="9"/>
      <c r="E4" s="7"/>
      <c r="F4" s="7"/>
      <c r="G4" s="7"/>
    </row>
    <row r="5" customFormat="false" ht="59.25" hidden="false" customHeight="true" outlineLevel="0" collapsed="false">
      <c r="A5" s="10" t="s">
        <v>7</v>
      </c>
      <c r="B5" s="9" t="s">
        <v>43</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45</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42</v>
      </c>
      <c r="C4" s="9"/>
      <c r="D4" s="9"/>
      <c r="E4" s="7"/>
      <c r="F4" s="7"/>
      <c r="G4" s="7"/>
    </row>
    <row r="5" customFormat="false" ht="59.25" hidden="false" customHeight="true" outlineLevel="0" collapsed="false">
      <c r="A5" s="10" t="s">
        <v>7</v>
      </c>
      <c r="B5" s="9" t="s">
        <v>43</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46</v>
      </c>
      <c r="B1" s="4"/>
      <c r="C1" s="4"/>
      <c r="D1" s="4"/>
      <c r="E1" s="4"/>
      <c r="F1" s="4"/>
      <c r="G1" s="4"/>
      <c r="H1" s="4"/>
    </row>
    <row r="2" customFormat="false" ht="24.75" hidden="false" customHeight="true" outlineLevel="0" collapsed="false">
      <c r="A2" s="5" t="s">
        <v>1</v>
      </c>
      <c r="B2" s="6"/>
      <c r="C2" s="6"/>
      <c r="D2" s="6"/>
      <c r="E2" s="7" t="s">
        <v>47</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42</v>
      </c>
      <c r="C4" s="9"/>
      <c r="D4" s="9"/>
      <c r="E4" s="7"/>
      <c r="F4" s="7"/>
      <c r="G4" s="7"/>
    </row>
    <row r="5" customFormat="false" ht="59.25" hidden="false" customHeight="true" outlineLevel="0" collapsed="false">
      <c r="A5" s="10" t="s">
        <v>7</v>
      </c>
      <c r="B5" s="9" t="s">
        <v>43</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1523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2026-02-15T22:52:01Z</dcterms:modified>
  <cp:revision>27</cp:revision>
  <dc:subject/>
  <dc:title>Project Log File</dc:title>
</cp:coreProperties>
</file>

<file path=docProps/custom.xml><?xml version="1.0" encoding="utf-8"?>
<Properties xmlns="http://schemas.openxmlformats.org/officeDocument/2006/custom-properties" xmlns:vt="http://schemas.openxmlformats.org/officeDocument/2006/docPropsVTypes"/>
</file>